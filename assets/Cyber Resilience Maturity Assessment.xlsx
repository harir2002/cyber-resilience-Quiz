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ssessment Questionnaire" sheetId="1" state="visible" r:id="rId1"/>
    <sheet name="Scoring Guide" sheetId="2" state="visible" r:id="rId2"/>
    <sheet name="Scorecard Template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<sst xmlns="http://schemas.openxmlformats.org/spreadsheetml/2006/main" count="205" uniqueCount="205">
  <si>
    <t xml:space="preserve">CYBER RESILIENCE MATURITY ASSESSMENT</t>
  </si>
  <si>
    <t xml:space="preserve">Initial Meeting Questionnaire</t>
  </si>
  <si>
    <t xml:space="preserve">Question #</t>
  </si>
  <si>
    <t xml:space="preserve">Strategic Question</t>
  </si>
  <si>
    <t xml:space="preserve">Response Type</t>
  </si>
  <si>
    <t xml:space="preserve">Scoring Notes</t>
  </si>
  <si>
    <t>1</t>
  </si>
  <si>
    <t xml:space="preserve">What is the current maximum recovery time your organization can tolerate without material business impact (RTO)?</t>
  </si>
  <si>
    <t xml:space="preserve">Single Select</t>
  </si>
  <si>
    <t xml:space="preserve">L1: Days/Weeks | L2: Days | L3: 12-24 hrs | L4: Hours | L5: Minutes</t>
  </si>
  <si>
    <t>2</t>
  </si>
  <si>
    <t xml:space="preserve">How are your backup systems currently protected from unauthorized access, modification, or deletion by attackers?</t>
  </si>
  <si>
    <t xml:space="preserve">L1: Network isolation only | L2: Role-based controls | L3: Immutability + Air-gap | L4: Immutability + Multi-layer | L5: Zero-trust immutable</t>
  </si>
  <si>
    <t>3</t>
  </si>
  <si>
    <t xml:space="preserve">In the past 12 months, how many unplanned data recovery scenarios has your organization tested end-to-end?</t>
  </si>
  <si>
    <t xml:space="preserve">L1: None | L2: 1 drill | L3: 2-3 drills | L4: Quarterly + documented | L5: Continuous automated validation</t>
  </si>
  <si>
    <t>4</t>
  </si>
  <si>
    <t xml:space="preserve">When a potential cyber incident is detected today, how is the incident response coordinated and executed?</t>
  </si>
  <si>
    <t xml:space="preserve">L1: Manual ad-hoc process | L2: Documented playbook only | L3: Playbook + assigned roles | L4: Playbook + monitoring alerts | L5: Automated orchestrated response</t>
  </si>
  <si>
    <t>5</t>
  </si>
  <si>
    <t xml:space="preserve">How is your organization currently detecting signs of compromise BEFORE data loss actually occurs?</t>
  </si>
  <si>
    <t xml:space="preserve">L1: Logs reviewed post-incident | L2: Basic alerting on backups | L3: Threat-aware monitoring | L4: Deception sensors + anomaly | L5: AI-driven predictive detection</t>
  </si>
  <si>
    <t>6</t>
  </si>
  <si>
    <t xml:space="preserve">What percentage of your critical data assets are covered under your current recovery capability?</t>
  </si>
  <si>
    <t xml:space="preserve">L1: 40-60% | L2: 60-75% | L3: 75-85% | L4: 85-95% | L5: 95-100% + validated</t>
  </si>
  <si>
    <t>7</t>
  </si>
  <si>
    <t xml:space="preserve">If you were to recover your entire organization's data today, how confident are you in the integrity and completeness?</t>
  </si>
  <si>
    <t xml:space="preserve">Confidence Scale</t>
  </si>
  <si>
    <t xml:space="preserve">L1: 30-40% | L2: 40-60% | L3: 60-75% | L4: 75-90% | L5: 90-100%</t>
  </si>
  <si>
    <t>8</t>
  </si>
  <si>
    <t xml:space="preserve">Which critical systems or data sources do NOT have a tested, documented recovery procedure?</t>
  </si>
  <si>
    <t xml:space="preserve">Open Response</t>
  </si>
  <si>
    <t xml:space="preserve">Scoring: Number of systems without coverage indicates maturity gap</t>
  </si>
  <si>
    <t>9</t>
  </si>
  <si>
    <t xml:space="preserve">In your current setup, how much time would it take to isolate a compromised system and recover to a known-clean state?</t>
  </si>
  <si>
    <t xml:space="preserve">L1: 1-2 weeks | L2: 3-7 days | L3: 24-48 hours | L4: 4-12 hours | L5: Under 1 hour automated</t>
  </si>
  <si>
    <t>10</t>
  </si>
  <si>
    <t xml:space="preserve">How are recovery validations and post-incident metrics tracked and reported to leadership?</t>
  </si>
  <si>
    <t xml:space="preserve">L1: Not tracked | L2: Manual post-mortems | L3: Recovery reports | L4: Automated dashboards | L5: Real-time exec scorecard</t>
  </si>
  <si>
    <t>11</t>
  </si>
  <si>
    <t xml:space="preserve">What level of investment has been made in backup infrastructure over the past 24 months?</t>
  </si>
  <si>
    <t xml:space="preserve">L1: Minimal/legacy | L2: Basic upgrades | L3: Moderate modernization | L4: Significant investment | L5: Enterprise-grade cloud-native</t>
  </si>
  <si>
    <t>12</t>
  </si>
  <si>
    <t xml:space="preserve">If ransomware locked all your systems today, could your organization recover independently without paying ransom?</t>
  </si>
  <si>
    <t xml:space="preserve">L1: Uncertain | L2: Possibly with manual effort | L3: Yes, with 48+ hours | L4: Yes, within hours | L5: Yes, verified automated recovery</t>
  </si>
  <si>
    <t xml:space="preserve">SCORING GUIDE</t>
  </si>
  <si>
    <t>Question</t>
  </si>
  <si>
    <t xml:space="preserve">Level 1: Basic</t>
  </si>
  <si>
    <t xml:space="preserve">Scoring Rule</t>
  </si>
  <si>
    <t xml:space="preserve">1 - RTO</t>
  </si>
  <si>
    <t>Days/Weeks</t>
  </si>
  <si>
    <t xml:space="preserve">0 Points</t>
  </si>
  <si>
    <t>Days</t>
  </si>
  <si>
    <t xml:space="preserve">1 Point</t>
  </si>
  <si>
    <t xml:space="preserve">12-24 hours</t>
  </si>
  <si>
    <t xml:space="preserve">2 Points</t>
  </si>
  <si>
    <t>Hours</t>
  </si>
  <si>
    <t xml:space="preserve">3 Points</t>
  </si>
  <si>
    <t>Minutes</t>
  </si>
  <si>
    <t xml:space="preserve">4 Points</t>
  </si>
  <si>
    <t xml:space="preserve">2 - Backup Protection</t>
  </si>
  <si>
    <t xml:space="preserve">Network isolation only</t>
  </si>
  <si>
    <t xml:space="preserve">Role-based controls</t>
  </si>
  <si>
    <t xml:space="preserve">Immutability + Air-gap</t>
  </si>
  <si>
    <t xml:space="preserve">Immutability + Multi-layer</t>
  </si>
  <si>
    <t xml:space="preserve">Zero-trust immutable</t>
  </si>
  <si>
    <t xml:space="preserve">3 - Recovery Testing</t>
  </si>
  <si>
    <t>None</t>
  </si>
  <si>
    <t xml:space="preserve">1 drill in past 12mo</t>
  </si>
  <si>
    <t xml:space="preserve">2-3 drills</t>
  </si>
  <si>
    <t xml:space="preserve">Quarterly + documented</t>
  </si>
  <si>
    <t xml:space="preserve">Continuous automated</t>
  </si>
  <si>
    <t xml:space="preserve">4 - Incident Response</t>
  </si>
  <si>
    <t xml:space="preserve">Manual ad-hoc</t>
  </si>
  <si>
    <t xml:space="preserve">Documented playbook only</t>
  </si>
  <si>
    <t xml:space="preserve">Playbook + assigned roles</t>
  </si>
  <si>
    <t xml:space="preserve">Playbook + monitoring</t>
  </si>
  <si>
    <t xml:space="preserve">Automated orchestrated</t>
  </si>
  <si>
    <t xml:space="preserve">5 - Threat Detection</t>
  </si>
  <si>
    <t xml:space="preserve">Logs reviewed post-incident</t>
  </si>
  <si>
    <t xml:space="preserve">Basic alerting on backups</t>
  </si>
  <si>
    <t xml:space="preserve">Threat-aware monitoring</t>
  </si>
  <si>
    <t xml:space="preserve">Deception sensors + anomaly</t>
  </si>
  <si>
    <t xml:space="preserve">AI-driven predictive</t>
  </si>
  <si>
    <t xml:space="preserve">6 - Coverage %</t>
  </si>
  <si>
    <t>40-60%</t>
  </si>
  <si>
    <t>60-75%</t>
  </si>
  <si>
    <t>75-85%</t>
  </si>
  <si>
    <t>85-95%</t>
  </si>
  <si>
    <t xml:space="preserve">95-100% validated</t>
  </si>
  <si>
    <t xml:space="preserve">7 - Recovery Confidence</t>
  </si>
  <si>
    <t>30-40%</t>
  </si>
  <si>
    <t>75-90%</t>
  </si>
  <si>
    <t>90-100%</t>
  </si>
  <si>
    <t xml:space="preserve">8 - System Coverage</t>
  </si>
  <si>
    <t xml:space="preserve">Critical systems uncovered</t>
  </si>
  <si>
    <t xml:space="preserve">Adjust per gap analysis</t>
  </si>
  <si>
    <t xml:space="preserve">9 - Recovery Speed</t>
  </si>
  <si>
    <t xml:space="preserve">1-2 weeks</t>
  </si>
  <si>
    <t xml:space="preserve">3-7 days</t>
  </si>
  <si>
    <t xml:space="preserve">24-48 hours</t>
  </si>
  <si>
    <t xml:space="preserve">4-12 hours</t>
  </si>
  <si>
    <t xml:space="preserve">Under 1 hour automated</t>
  </si>
  <si>
    <t xml:space="preserve">10 - Metrics Tracking</t>
  </si>
  <si>
    <t xml:space="preserve">Not tracked</t>
  </si>
  <si>
    <t xml:space="preserve">Manual post-mortems</t>
  </si>
  <si>
    <t xml:space="preserve">Recovery reports</t>
  </si>
  <si>
    <t xml:space="preserve">Automated dashboards</t>
  </si>
  <si>
    <t xml:space="preserve">Real-time exec scorecard</t>
  </si>
  <si>
    <t xml:space="preserve">11 - Infrastructure Investment</t>
  </si>
  <si>
    <t>Minimal/legacy</t>
  </si>
  <si>
    <t xml:space="preserve">Basic upgrades</t>
  </si>
  <si>
    <t xml:space="preserve">Moderate modernization</t>
  </si>
  <si>
    <t xml:space="preserve">Significant investment</t>
  </si>
  <si>
    <t xml:space="preserve">Enterprise cloud-native</t>
  </si>
  <si>
    <t xml:space="preserve">12 - Ransomware Independence</t>
  </si>
  <si>
    <t>Uncertain</t>
  </si>
  <si>
    <t xml:space="preserve">Possibly with manual effort</t>
  </si>
  <si>
    <t xml:space="preserve">Yes, within 48+ hours</t>
  </si>
  <si>
    <t xml:space="preserve">Yes, within hours</t>
  </si>
  <si>
    <t xml:space="preserve">Yes, verified automated</t>
  </si>
  <si>
    <t xml:space="preserve">CYBER RESILIENCE MATURITY SCORECARD</t>
  </si>
  <si>
    <t xml:space="preserve">Organization Name:</t>
  </si>
  <si>
    <t xml:space="preserve">[Client Name]</t>
  </si>
  <si>
    <t xml:space="preserve">Assessment Date:</t>
  </si>
  <si>
    <t>[Date]</t>
  </si>
  <si>
    <t>CISO/CIO:</t>
  </si>
  <si>
    <t>[Name]</t>
  </si>
  <si>
    <t>Facility:</t>
  </si>
  <si>
    <t>[Location]</t>
  </si>
  <si>
    <t xml:space="preserve">ASSESSMENT RESULTS</t>
  </si>
  <si>
    <t>Domain</t>
  </si>
  <si>
    <t xml:space="preserve">Score (0-4)</t>
  </si>
  <si>
    <t xml:space="preserve">Maturity Level Indicated</t>
  </si>
  <si>
    <t xml:space="preserve">Recovery Time Objective</t>
  </si>
  <si>
    <t xml:space="preserve">Data Protection &amp; Immutability</t>
  </si>
  <si>
    <t xml:space="preserve">Recovery Testing &amp; Validation</t>
  </si>
  <si>
    <t xml:space="preserve">Incident Response Orchestration</t>
  </si>
  <si>
    <t xml:space="preserve">Threat Detection Capability</t>
  </si>
  <si>
    <t xml:space="preserve">Critical Asset Coverage</t>
  </si>
  <si>
    <t xml:space="preserve">Recovery Confidence</t>
  </si>
  <si>
    <t xml:space="preserve">System Coverage Gaps</t>
  </si>
  <si>
    <t xml:space="preserve">Recovery Speed</t>
  </si>
  <si>
    <t xml:space="preserve">Metrics &amp; Reporting</t>
  </si>
  <si>
    <t xml:space="preserve">Infrastructure Investment</t>
  </si>
  <si>
    <t xml:space="preserve">Ransomware Resilience</t>
  </si>
  <si>
    <t xml:space="preserve">AGGREGATE SCORE SUMMARY</t>
  </si>
  <si>
    <t xml:space="preserve">Total Points Achieved</t>
  </si>
  <si>
    <t>(0-48)</t>
  </si>
  <si>
    <t xml:space="preserve">Average Maturity Score</t>
  </si>
  <si>
    <t>(0-4.0)</t>
  </si>
  <si>
    <t xml:space="preserve">MATURITY LEVEL MAPPING</t>
  </si>
  <si>
    <t xml:space="preserve">Score Range</t>
  </si>
  <si>
    <t xml:space="preserve">Maturity Level</t>
  </si>
  <si>
    <t>Characteristics</t>
  </si>
  <si>
    <t xml:space="preserve">Recommended Next Step</t>
  </si>
  <si>
    <t xml:space="preserve">0-12 (0-1.0)</t>
  </si>
  <si>
    <t xml:space="preserve">Level 1: BASIC</t>
  </si>
  <si>
    <t xml:space="preserve">Traditional backup; manual recovery; days/weeks RTO</t>
  </si>
  <si>
    <t xml:space="preserve">Activate immutability &amp; air-gapping</t>
  </si>
  <si>
    <t xml:space="preserve">13-24 (1.1-2.0)</t>
  </si>
  <si>
    <t xml:space="preserve">Level 2: RISK-INFORMED</t>
  </si>
  <si>
    <t xml:space="preserve">Backup hardening; reactive response; aware of threats</t>
  </si>
  <si>
    <t xml:space="preserve">Establish recovery playbooks &amp; testing</t>
  </si>
  <si>
    <t xml:space="preserve">25-36 (2.1-3.0)</t>
  </si>
  <si>
    <t xml:space="preserve">Level 3: REPEATABLE</t>
  </si>
  <si>
    <t xml:space="preserve">Air-gapped; documented playbooks; 24-48hr recovery</t>
  </si>
  <si>
    <t xml:space="preserve">Deploy detection &amp; monitoring capabilities</t>
  </si>
  <si>
    <t xml:space="preserve">37-44 (3.1-3.7)</t>
  </si>
  <si>
    <t xml:space="preserve">Level 4: MANAGED</t>
  </si>
  <si>
    <t xml:space="preserve">Proactive detection; anomaly alerts; hours-level recovery</t>
  </si>
  <si>
    <t xml:space="preserve">Automate orchestration &amp; clean-room setup</t>
  </si>
  <si>
    <t xml:space="preserve">45-48 (3.8-4.0)</t>
  </si>
  <si>
    <t xml:space="preserve">Level 5: ADAPTIVE</t>
  </si>
  <si>
    <t xml:space="preserve">Fully automated; AI-driven; minutes-level recovery; zero-latency</t>
  </si>
  <si>
    <t xml:space="preserve">Continuous optimization &amp; innovation</t>
  </si>
  <si>
    <t xml:space="preserve">GAP ANALYSIS</t>
  </si>
  <si>
    <t xml:space="preserve">Current Level</t>
  </si>
  <si>
    <t xml:space="preserve">Target Level (2026)</t>
  </si>
  <si>
    <t xml:space="preserve">Gap (in points)</t>
  </si>
  <si>
    <t xml:space="preserve">Estimated Effort</t>
  </si>
  <si>
    <t xml:space="preserve">KEY FINDINGS &amp; OBSERVATIONS</t>
  </si>
  <si>
    <t xml:space="preserve">Critical Strengths</t>
  </si>
  <si>
    <t xml:space="preserve">[What are we doing well?]</t>
  </si>
  <si>
    <t xml:space="preserve">Priority Gaps</t>
  </si>
  <si>
    <t xml:space="preserve">[What are the biggest vulnerabilities?]</t>
  </si>
  <si>
    <t xml:space="preserve">Quick Wins (90-Day Phase 1)</t>
  </si>
  <si>
    <t xml:space="preserve">[Top 3 actionable improvements]</t>
  </si>
  <si>
    <t xml:space="preserve">INVESTMENT &amp; ROADMAP PREVIEW</t>
  </si>
  <si>
    <t xml:space="preserve">Phase 1 (0-30 days)</t>
  </si>
  <si>
    <t xml:space="preserve">Quick Wins</t>
  </si>
  <si>
    <t xml:space="preserve">Est. Effort</t>
  </si>
  <si>
    <t xml:space="preserve">Expected Outcome</t>
  </si>
  <si>
    <t xml:space="preserve">[Activation items]</t>
  </si>
  <si>
    <t xml:space="preserve">Phase 2 (30-60 days)</t>
  </si>
  <si>
    <t>Hardening</t>
  </si>
  <si>
    <t xml:space="preserve">[Scaling items]</t>
  </si>
  <si>
    <t xml:space="preserve">Phase 3 (60-90 days)</t>
  </si>
  <si>
    <t>Strategic</t>
  </si>
  <si>
    <t xml:space="preserve">[Automation items]</t>
  </si>
  <si>
    <t xml:space="preserve">NEXT STEPS</t>
  </si>
  <si>
    <t xml:space="preserve">1. Share scorecard with leadership team</t>
  </si>
  <si>
    <t xml:space="preserve">2. Identify executive sponsor for 90-day roadmap</t>
  </si>
  <si>
    <t xml:space="preserve">3. Schedule follow-up workshop for detailed roadmap</t>
  </si>
  <si>
    <t xml:space="preserve">4. Define success metrics &amp; KPIs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</si>
</sst>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A4" activeCellId="0" sqref="A4:B17"/>
    </sheetView>
  </sheetViews>
  <sheetFormatPr defaultRowHeight="14.25"/>
  <cols>
    <col bestFit="1" customWidth="1" min="1" max="1" width="37.28125"/>
    <col bestFit="1" customWidth="1" min="2" max="2" width="111.28515625"/>
    <col customWidth="1" min="3" max="3" width="18.7109375"/>
    <col customWidth="1" min="4" max="4" width="143.8515625"/>
  </cols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6">
      <c r="A6" t="s">
        <v>6</v>
      </c>
      <c r="B6" t="s">
        <v>7</v>
      </c>
      <c r="C6" t="s">
        <v>8</v>
      </c>
      <c r="D6" t="s">
        <v>9</v>
      </c>
    </row>
    <row r="7">
      <c r="A7" t="s">
        <v>10</v>
      </c>
      <c r="B7" t="s">
        <v>11</v>
      </c>
      <c r="C7" t="s">
        <v>8</v>
      </c>
      <c r="D7" t="s">
        <v>12</v>
      </c>
    </row>
    <row r="8">
      <c r="A8" t="s">
        <v>13</v>
      </c>
      <c r="B8" t="s">
        <v>14</v>
      </c>
      <c r="C8" t="s">
        <v>8</v>
      </c>
      <c r="D8" t="s">
        <v>15</v>
      </c>
    </row>
    <row r="9">
      <c r="A9" t="s">
        <v>16</v>
      </c>
      <c r="B9" t="s">
        <v>17</v>
      </c>
      <c r="C9" t="s">
        <v>8</v>
      </c>
      <c r="D9" t="s">
        <v>18</v>
      </c>
    </row>
    <row r="10">
      <c r="A10" t="s">
        <v>19</v>
      </c>
      <c r="B10" t="s">
        <v>20</v>
      </c>
      <c r="C10" t="s">
        <v>8</v>
      </c>
      <c r="D10" t="s">
        <v>21</v>
      </c>
    </row>
    <row r="11">
      <c r="A11" t="s">
        <v>22</v>
      </c>
      <c r="B11" t="s">
        <v>23</v>
      </c>
      <c r="C11" t="s">
        <v>8</v>
      </c>
      <c r="D11" t="s">
        <v>24</v>
      </c>
    </row>
    <row r="12">
      <c r="A12" t="s">
        <v>25</v>
      </c>
      <c r="B12" t="s">
        <v>26</v>
      </c>
      <c r="C12" t="s">
        <v>27</v>
      </c>
      <c r="D12" t="s">
        <v>28</v>
      </c>
    </row>
    <row r="13">
      <c r="A13" t="s">
        <v>29</v>
      </c>
      <c r="B13" t="s">
        <v>30</v>
      </c>
      <c r="C13" t="s">
        <v>31</v>
      </c>
      <c r="D13" t="s">
        <v>32</v>
      </c>
    </row>
    <row r="14">
      <c r="A14" t="s">
        <v>33</v>
      </c>
      <c r="B14" t="s">
        <v>34</v>
      </c>
      <c r="C14" t="s">
        <v>8</v>
      </c>
      <c r="D14" t="s">
        <v>35</v>
      </c>
    </row>
    <row r="15">
      <c r="A15" t="s">
        <v>36</v>
      </c>
      <c r="B15" t="s">
        <v>37</v>
      </c>
      <c r="C15" t="s">
        <v>8</v>
      </c>
      <c r="D15" t="s">
        <v>38</v>
      </c>
    </row>
    <row r="16">
      <c r="A16" t="s">
        <v>39</v>
      </c>
      <c r="B16" t="s">
        <v>40</v>
      </c>
      <c r="C16" t="s">
        <v>8</v>
      </c>
      <c r="D16" t="s">
        <v>41</v>
      </c>
    </row>
    <row r="17">
      <c r="A17" t="s">
        <v>42</v>
      </c>
      <c r="B17" t="s">
        <v>43</v>
      </c>
      <c r="C17" t="s">
        <v>8</v>
      </c>
      <c r="D17" t="s">
        <v>44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bestFit="1" customWidth="1" min="1" max="1" width="28.00390625"/>
    <col customWidth="1" min="2" max="2" width="29.7109375"/>
    <col customWidth="1" min="3" max="3" width="25.7109375"/>
  </cols>
  <sheetData>
    <row r="1">
      <c r="A1" t="s">
        <v>45</v>
      </c>
    </row>
    <row r="3">
      <c r="A3" t="s">
        <v>46</v>
      </c>
      <c r="B3" t="s">
        <v>47</v>
      </c>
      <c r="C3" t="s">
        <v>48</v>
      </c>
    </row>
    <row r="4">
      <c r="A4" t="s">
        <v>49</v>
      </c>
      <c r="B4" t="s">
        <v>50</v>
      </c>
      <c r="C4" t="s">
        <v>51</v>
      </c>
    </row>
    <row r="5">
      <c r="A5" t="s">
        <v>49</v>
      </c>
      <c r="B5" t="s">
        <v>52</v>
      </c>
      <c r="C5" t="s">
        <v>53</v>
      </c>
    </row>
    <row r="6">
      <c r="A6" t="s">
        <v>49</v>
      </c>
      <c r="B6" t="s">
        <v>54</v>
      </c>
      <c r="C6" t="s">
        <v>55</v>
      </c>
    </row>
    <row r="7">
      <c r="A7" t="s">
        <v>49</v>
      </c>
      <c r="B7" t="s">
        <v>56</v>
      </c>
      <c r="C7" t="s">
        <v>57</v>
      </c>
    </row>
    <row r="8">
      <c r="A8" t="s">
        <v>49</v>
      </c>
      <c r="B8" t="s">
        <v>58</v>
      </c>
      <c r="C8" t="s">
        <v>59</v>
      </c>
    </row>
    <row r="10">
      <c r="A10" t="s">
        <v>60</v>
      </c>
      <c r="B10" t="s">
        <v>61</v>
      </c>
      <c r="C10" t="s">
        <v>51</v>
      </c>
    </row>
    <row r="11">
      <c r="A11" t="s">
        <v>60</v>
      </c>
      <c r="B11" t="s">
        <v>62</v>
      </c>
      <c r="C11" t="s">
        <v>53</v>
      </c>
    </row>
    <row r="12">
      <c r="A12" t="s">
        <v>60</v>
      </c>
      <c r="B12" t="s">
        <v>63</v>
      </c>
      <c r="C12" t="s">
        <v>55</v>
      </c>
    </row>
    <row r="13">
      <c r="A13" t="s">
        <v>60</v>
      </c>
      <c r="B13" t="s">
        <v>64</v>
      </c>
      <c r="C13" t="s">
        <v>57</v>
      </c>
    </row>
    <row r="14">
      <c r="A14" t="s">
        <v>60</v>
      </c>
      <c r="B14" t="s">
        <v>65</v>
      </c>
      <c r="C14" t="s">
        <v>59</v>
      </c>
    </row>
    <row r="16">
      <c r="A16" t="s">
        <v>66</v>
      </c>
      <c r="B16" t="s">
        <v>67</v>
      </c>
      <c r="C16" t="s">
        <v>51</v>
      </c>
    </row>
    <row r="17">
      <c r="A17" t="s">
        <v>66</v>
      </c>
      <c r="B17" t="s">
        <v>68</v>
      </c>
      <c r="C17" t="s">
        <v>53</v>
      </c>
    </row>
    <row r="18">
      <c r="A18" t="s">
        <v>66</v>
      </c>
      <c r="B18" t="s">
        <v>69</v>
      </c>
      <c r="C18" t="s">
        <v>55</v>
      </c>
    </row>
    <row r="19">
      <c r="A19" t="s">
        <v>66</v>
      </c>
      <c r="B19" t="s">
        <v>70</v>
      </c>
      <c r="C19" t="s">
        <v>57</v>
      </c>
    </row>
    <row r="20">
      <c r="A20" t="s">
        <v>66</v>
      </c>
      <c r="B20" t="s">
        <v>71</v>
      </c>
      <c r="C20" t="s">
        <v>59</v>
      </c>
    </row>
    <row r="22">
      <c r="A22" t="s">
        <v>72</v>
      </c>
      <c r="B22" t="s">
        <v>73</v>
      </c>
      <c r="C22" t="s">
        <v>51</v>
      </c>
    </row>
    <row r="23">
      <c r="A23" t="s">
        <v>72</v>
      </c>
      <c r="B23" t="s">
        <v>74</v>
      </c>
      <c r="C23" t="s">
        <v>53</v>
      </c>
    </row>
    <row r="24">
      <c r="A24" t="s">
        <v>72</v>
      </c>
      <c r="B24" t="s">
        <v>75</v>
      </c>
      <c r="C24" t="s">
        <v>55</v>
      </c>
    </row>
    <row r="25">
      <c r="A25" t="s">
        <v>72</v>
      </c>
      <c r="B25" t="s">
        <v>76</v>
      </c>
      <c r="C25" t="s">
        <v>57</v>
      </c>
    </row>
    <row r="26">
      <c r="A26" t="s">
        <v>72</v>
      </c>
      <c r="B26" t="s">
        <v>77</v>
      </c>
      <c r="C26" t="s">
        <v>59</v>
      </c>
    </row>
    <row r="28">
      <c r="A28" t="s">
        <v>78</v>
      </c>
      <c r="B28" t="s">
        <v>79</v>
      </c>
      <c r="C28" t="s">
        <v>51</v>
      </c>
    </row>
    <row r="29">
      <c r="A29" t="s">
        <v>78</v>
      </c>
      <c r="B29" t="s">
        <v>80</v>
      </c>
      <c r="C29" t="s">
        <v>53</v>
      </c>
    </row>
    <row r="30">
      <c r="A30" t="s">
        <v>78</v>
      </c>
      <c r="B30" t="s">
        <v>81</v>
      </c>
      <c r="C30" t="s">
        <v>55</v>
      </c>
    </row>
    <row r="31">
      <c r="A31" t="s">
        <v>78</v>
      </c>
      <c r="B31" t="s">
        <v>82</v>
      </c>
      <c r="C31" t="s">
        <v>57</v>
      </c>
    </row>
    <row r="32">
      <c r="A32" t="s">
        <v>78</v>
      </c>
      <c r="B32" t="s">
        <v>83</v>
      </c>
      <c r="C32" t="s">
        <v>59</v>
      </c>
    </row>
    <row r="34">
      <c r="A34" t="s">
        <v>84</v>
      </c>
      <c r="B34" t="s">
        <v>85</v>
      </c>
      <c r="C34" t="s">
        <v>51</v>
      </c>
    </row>
    <row r="35">
      <c r="A35" t="s">
        <v>84</v>
      </c>
      <c r="B35" t="s">
        <v>86</v>
      </c>
      <c r="C35" t="s">
        <v>53</v>
      </c>
    </row>
    <row r="36">
      <c r="A36" t="s">
        <v>84</v>
      </c>
      <c r="B36" t="s">
        <v>87</v>
      </c>
      <c r="C36" t="s">
        <v>55</v>
      </c>
    </row>
    <row r="37">
      <c r="A37" t="s">
        <v>84</v>
      </c>
      <c r="B37" t="s">
        <v>88</v>
      </c>
      <c r="C37" t="s">
        <v>57</v>
      </c>
    </row>
    <row r="38">
      <c r="A38" t="s">
        <v>84</v>
      </c>
      <c r="B38" t="s">
        <v>89</v>
      </c>
      <c r="C38" t="s">
        <v>59</v>
      </c>
    </row>
    <row r="40">
      <c r="A40" t="s">
        <v>90</v>
      </c>
      <c r="B40" t="s">
        <v>91</v>
      </c>
      <c r="C40" t="s">
        <v>51</v>
      </c>
    </row>
    <row r="41">
      <c r="A41" t="s">
        <v>90</v>
      </c>
      <c r="B41" t="s">
        <v>85</v>
      </c>
      <c r="C41" t="s">
        <v>53</v>
      </c>
    </row>
    <row r="42">
      <c r="A42" t="s">
        <v>90</v>
      </c>
      <c r="B42" t="s">
        <v>86</v>
      </c>
      <c r="C42" t="s">
        <v>55</v>
      </c>
    </row>
    <row r="43">
      <c r="A43" t="s">
        <v>90</v>
      </c>
      <c r="B43" t="s">
        <v>92</v>
      </c>
      <c r="C43" t="s">
        <v>57</v>
      </c>
    </row>
    <row r="44">
      <c r="A44" t="s">
        <v>90</v>
      </c>
      <c r="B44" t="s">
        <v>93</v>
      </c>
      <c r="C44" t="s">
        <v>59</v>
      </c>
    </row>
    <row r="46">
      <c r="A46" t="s">
        <v>94</v>
      </c>
      <c r="B46" t="s">
        <v>95</v>
      </c>
      <c r="C46" t="s">
        <v>96</v>
      </c>
    </row>
    <row r="48">
      <c r="A48" t="s">
        <v>97</v>
      </c>
      <c r="B48" t="s">
        <v>98</v>
      </c>
      <c r="C48" t="s">
        <v>51</v>
      </c>
    </row>
    <row r="49">
      <c r="A49" t="s">
        <v>97</v>
      </c>
      <c r="B49" t="s">
        <v>99</v>
      </c>
      <c r="C49" t="s">
        <v>53</v>
      </c>
    </row>
    <row r="50">
      <c r="A50" t="s">
        <v>97</v>
      </c>
      <c r="B50" t="s">
        <v>100</v>
      </c>
      <c r="C50" t="s">
        <v>55</v>
      </c>
    </row>
    <row r="51">
      <c r="A51" t="s">
        <v>97</v>
      </c>
      <c r="B51" t="s">
        <v>101</v>
      </c>
      <c r="C51" t="s">
        <v>57</v>
      </c>
    </row>
    <row r="52">
      <c r="A52" t="s">
        <v>97</v>
      </c>
      <c r="B52" t="s">
        <v>102</v>
      </c>
      <c r="C52" t="s">
        <v>59</v>
      </c>
    </row>
    <row r="54">
      <c r="A54" t="s">
        <v>103</v>
      </c>
      <c r="B54" t="s">
        <v>104</v>
      </c>
      <c r="C54" t="s">
        <v>51</v>
      </c>
    </row>
    <row r="55">
      <c r="A55" t="s">
        <v>103</v>
      </c>
      <c r="B55" t="s">
        <v>105</v>
      </c>
      <c r="C55" t="s">
        <v>53</v>
      </c>
    </row>
    <row r="56">
      <c r="A56" t="s">
        <v>103</v>
      </c>
      <c r="B56" t="s">
        <v>106</v>
      </c>
      <c r="C56" t="s">
        <v>55</v>
      </c>
    </row>
    <row r="57">
      <c r="A57" t="s">
        <v>103</v>
      </c>
      <c r="B57" t="s">
        <v>107</v>
      </c>
      <c r="C57" t="s">
        <v>57</v>
      </c>
    </row>
    <row r="58">
      <c r="A58" t="s">
        <v>103</v>
      </c>
      <c r="B58" t="s">
        <v>108</v>
      </c>
      <c r="C58" t="s">
        <v>59</v>
      </c>
    </row>
    <row r="60">
      <c r="A60" t="s">
        <v>109</v>
      </c>
      <c r="B60" t="s">
        <v>110</v>
      </c>
      <c r="C60" t="s">
        <v>51</v>
      </c>
    </row>
    <row r="61">
      <c r="A61" t="s">
        <v>109</v>
      </c>
      <c r="B61" t="s">
        <v>111</v>
      </c>
      <c r="C61" t="s">
        <v>53</v>
      </c>
    </row>
    <row r="62">
      <c r="A62" t="s">
        <v>109</v>
      </c>
      <c r="B62" t="s">
        <v>112</v>
      </c>
      <c r="C62" t="s">
        <v>55</v>
      </c>
    </row>
    <row r="63">
      <c r="A63" t="s">
        <v>109</v>
      </c>
      <c r="B63" t="s">
        <v>113</v>
      </c>
      <c r="C63" t="s">
        <v>57</v>
      </c>
    </row>
    <row r="64">
      <c r="A64" t="s">
        <v>109</v>
      </c>
      <c r="B64" t="s">
        <v>114</v>
      </c>
      <c r="C64" t="s">
        <v>59</v>
      </c>
    </row>
    <row r="66">
      <c r="A66" t="s">
        <v>115</v>
      </c>
      <c r="B66" t="s">
        <v>116</v>
      </c>
      <c r="C66" t="s">
        <v>51</v>
      </c>
    </row>
    <row r="67">
      <c r="A67" t="s">
        <v>115</v>
      </c>
      <c r="B67" t="s">
        <v>117</v>
      </c>
      <c r="C67" t="s">
        <v>53</v>
      </c>
    </row>
    <row r="68">
      <c r="A68" t="s">
        <v>115</v>
      </c>
      <c r="B68" t="s">
        <v>118</v>
      </c>
      <c r="C68" t="s">
        <v>55</v>
      </c>
    </row>
    <row r="69">
      <c r="A69" t="s">
        <v>115</v>
      </c>
      <c r="B69" t="s">
        <v>119</v>
      </c>
      <c r="C69" t="s">
        <v>57</v>
      </c>
    </row>
    <row r="70">
      <c r="A70" t="s">
        <v>115</v>
      </c>
      <c r="B70" t="s">
        <v>120</v>
      </c>
      <c r="C70" t="s">
        <v>59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5" activeCellId="0" sqref="B15:C15"/>
    </sheetView>
  </sheetViews>
  <sheetFormatPr defaultRowHeight="14.25"/>
  <cols>
    <col bestFit="1" customWidth="1" min="1" max="1" width="49.85546875"/>
    <col bestFit="1" customWidth="1" min="2" max="2" width="28.7109375"/>
    <col customWidth="1" min="3" max="3" width="50.7109375"/>
    <col customWidth="1" min="4" max="4" width="44.7109375"/>
  </cols>
  <sheetData>
    <row r="1">
      <c r="A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</row>
    <row r="3">
      <c r="A3" t="s">
        <v>126</v>
      </c>
      <c r="B3" t="s">
        <v>127</v>
      </c>
      <c r="C3" t="s">
        <v>128</v>
      </c>
      <c r="D3" t="s">
        <v>129</v>
      </c>
    </row>
    <row r="5">
      <c r="A5" t="s">
        <v>130</v>
      </c>
    </row>
    <row r="7">
      <c r="A7" t="s">
        <v>2</v>
      </c>
      <c r="B7" t="s">
        <v>131</v>
      </c>
      <c r="C7" t="s">
        <v>132</v>
      </c>
      <c r="D7" t="s">
        <v>133</v>
      </c>
    </row>
    <row r="8">
      <c r="A8" t="s">
        <v>6</v>
      </c>
      <c r="B8" t="s">
        <v>134</v>
      </c>
      <c r="C8">
        <v>4</v>
      </c>
    </row>
    <row r="9">
      <c r="A9" t="s">
        <v>10</v>
      </c>
      <c r="B9" t="s">
        <v>135</v>
      </c>
      <c r="C9">
        <v>3</v>
      </c>
    </row>
    <row r="10">
      <c r="A10" t="s">
        <v>13</v>
      </c>
      <c r="B10" t="s">
        <v>136</v>
      </c>
      <c r="C10">
        <v>2</v>
      </c>
    </row>
    <row r="11">
      <c r="A11" t="s">
        <v>16</v>
      </c>
      <c r="B11" t="s">
        <v>137</v>
      </c>
      <c r="C11">
        <v>4</v>
      </c>
    </row>
    <row r="12">
      <c r="A12" t="s">
        <v>19</v>
      </c>
      <c r="B12" t="s">
        <v>138</v>
      </c>
      <c r="C12">
        <v>1</v>
      </c>
    </row>
    <row r="13">
      <c r="A13" t="s">
        <v>22</v>
      </c>
      <c r="B13" t="s">
        <v>139</v>
      </c>
      <c r="C13">
        <v>3</v>
      </c>
    </row>
    <row r="14">
      <c r="A14" t="s">
        <v>25</v>
      </c>
      <c r="B14" t="s">
        <v>140</v>
      </c>
      <c r="C14">
        <v>2</v>
      </c>
    </row>
    <row r="15">
      <c r="A15" t="s">
        <v>29</v>
      </c>
      <c r="B15" t="s">
        <v>141</v>
      </c>
      <c r="C15">
        <v>4</v>
      </c>
    </row>
    <row r="16">
      <c r="A16" t="s">
        <v>33</v>
      </c>
      <c r="B16" t="s">
        <v>142</v>
      </c>
      <c r="C16">
        <v>4</v>
      </c>
    </row>
    <row r="17">
      <c r="A17" t="s">
        <v>36</v>
      </c>
      <c r="B17" t="s">
        <v>143</v>
      </c>
      <c r="C17">
        <v>2</v>
      </c>
    </row>
    <row r="18">
      <c r="A18" t="s">
        <v>39</v>
      </c>
      <c r="B18" t="s">
        <v>144</v>
      </c>
      <c r="C18">
        <v>2</v>
      </c>
    </row>
    <row r="19">
      <c r="A19" t="s">
        <v>42</v>
      </c>
      <c r="B19" t="s">
        <v>145</v>
      </c>
      <c r="C19">
        <v>1</v>
      </c>
    </row>
    <row r="20">
      <c r="C20">
        <f>SUM(C8:C19)</f>
        <v>32</v>
      </c>
    </row>
    <row r="21">
      <c r="A21" t="s">
        <v>146</v>
      </c>
    </row>
    <row r="22">
      <c r="A22" t="s">
        <v>147</v>
      </c>
      <c r="C22" t="s">
        <v>148</v>
      </c>
    </row>
    <row r="23">
      <c r="A23" t="s">
        <v>149</v>
      </c>
      <c r="C23" t="s">
        <v>150</v>
      </c>
    </row>
    <row r="25">
      <c r="A25" t="s">
        <v>151</v>
      </c>
    </row>
    <row r="26">
      <c r="A26" t="s">
        <v>152</v>
      </c>
      <c r="B26" t="s">
        <v>153</v>
      </c>
      <c r="C26" t="s">
        <v>154</v>
      </c>
      <c r="D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</row>
    <row r="28">
      <c r="A28" t="s">
        <v>160</v>
      </c>
      <c r="B28" t="s">
        <v>161</v>
      </c>
      <c r="C28" t="s">
        <v>162</v>
      </c>
      <c r="D28" t="s">
        <v>163</v>
      </c>
    </row>
    <row r="29">
      <c r="A29" t="s">
        <v>164</v>
      </c>
      <c r="B29" t="s">
        <v>165</v>
      </c>
      <c r="C29" t="s">
        <v>166</v>
      </c>
      <c r="D29" t="s">
        <v>167</v>
      </c>
    </row>
    <row r="30">
      <c r="A30" t="s">
        <v>168</v>
      </c>
      <c r="B30" t="s">
        <v>169</v>
      </c>
      <c r="C30" t="s">
        <v>170</v>
      </c>
      <c r="D30" t="s">
        <v>171</v>
      </c>
    </row>
    <row r="31">
      <c r="A31" t="s">
        <v>172</v>
      </c>
      <c r="B31" t="s">
        <v>173</v>
      </c>
      <c r="C31" t="s">
        <v>174</v>
      </c>
      <c r="D31" t="s">
        <v>175</v>
      </c>
    </row>
    <row r="33">
      <c r="A33" t="s">
        <v>176</v>
      </c>
    </row>
    <row r="34">
      <c r="A34" t="s">
        <v>177</v>
      </c>
    </row>
    <row r="35">
      <c r="A35" t="s">
        <v>178</v>
      </c>
    </row>
    <row r="36">
      <c r="A36" t="s">
        <v>179</v>
      </c>
    </row>
    <row r="37">
      <c r="A37" t="s">
        <v>180</v>
      </c>
    </row>
    <row r="39">
      <c r="A39" t="s">
        <v>181</v>
      </c>
    </row>
    <row r="40">
      <c r="A40" t="s">
        <v>182</v>
      </c>
    </row>
    <row r="41">
      <c r="A41" t="s">
        <v>183</v>
      </c>
    </row>
    <row r="43">
      <c r="A43" t="s">
        <v>184</v>
      </c>
    </row>
    <row r="44">
      <c r="A44" t="s">
        <v>185</v>
      </c>
    </row>
    <row r="46">
      <c r="A46" t="s">
        <v>186</v>
      </c>
    </row>
    <row r="47">
      <c r="A47" t="s">
        <v>187</v>
      </c>
    </row>
    <row r="49">
      <c r="A49" t="s">
        <v>188</v>
      </c>
    </row>
    <row r="50">
      <c r="A50" t="s">
        <v>189</v>
      </c>
      <c r="B50" t="s">
        <v>190</v>
      </c>
      <c r="C50" t="s">
        <v>191</v>
      </c>
      <c r="D50" t="s">
        <v>192</v>
      </c>
    </row>
    <row r="51">
      <c r="B51" t="s">
        <v>193</v>
      </c>
    </row>
    <row r="53">
      <c r="A53" t="s">
        <v>194</v>
      </c>
      <c r="B53" t="s">
        <v>195</v>
      </c>
      <c r="C53" t="s">
        <v>191</v>
      </c>
      <c r="D53" t="s">
        <v>192</v>
      </c>
    </row>
    <row r="54">
      <c r="B54" t="s">
        <v>196</v>
      </c>
    </row>
    <row r="56">
      <c r="A56" t="s">
        <v>197</v>
      </c>
      <c r="B56" t="s">
        <v>198</v>
      </c>
      <c r="C56" t="s">
        <v>191</v>
      </c>
      <c r="D56" t="s">
        <v>192</v>
      </c>
    </row>
    <row r="57">
      <c r="B57" t="s">
        <v>199</v>
      </c>
    </row>
    <row r="59">
      <c r="A59" t="s">
        <v>200</v>
      </c>
    </row>
    <row r="60">
      <c r="A60" t="s">
        <v>201</v>
      </c>
    </row>
    <row r="61">
      <c r="A61" t="s">
        <v>202</v>
      </c>
    </row>
    <row r="62">
      <c r="A62" t="s">
        <v>203</v>
      </c>
    </row>
    <row r="63">
      <c r="A63" t="s">
        <v>204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2026-01-29T05:55:51Z</dcterms:created>
  <dcterms:modified xsi:type="dcterms:W3CDTF">2026-01-29T12:19:49Z</dcterms:modified>
</cp:coreProperties>
</file>